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57398b8b4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bb3d32db0f4c28"/>
    <x:sheet xmlns:r="http://schemas.openxmlformats.org/officeDocument/2006/relationships" name="Read Me" sheetId="2" r:id="Rc7665263c5744173"/>
  </x:sheets>
</x:workbook>
</file>

<file path=xl/sharedStrings.xml><?xml version="1.0" encoding="utf-8"?>
<x:sst xmlns:x="http://schemas.openxmlformats.org/spreadsheetml/2006/main">
  <x:si>
    <x:t xml:space="preserve">Color</x:t>
  </x:si>
  <x:si>
    <x:t xml:space="preserve">class_name</x:t>
  </x:si>
  <x:si>
    <x:t xml:space="preserve">shape</x:t>
  </x:si>
  <x:si>
    <x:t xml:space="preserve">Blue</x:t>
  </x:si>
  <x:si>
    <x:t xml:space="preserve">straight_or_right</x:t>
  </x:si>
  <x:si>
    <x:t xml:space="preserve">circle</x:t>
  </x:si>
  <x:si>
    <x:t xml:space="preserve">straight_only</x:t>
  </x:si>
  <x:si>
    <x:t xml:space="preserve">basement_entrance</x:t>
  </x:si>
  <x:si>
    <x:t xml:space="preserve">left_turn_only</x:t>
  </x:si>
  <x:si>
    <x:t xml:space="preserve">left_or_right</x:t>
  </x:si>
  <x:si>
    <x:t xml:space="preserve">right_turn_only</x:t>
  </x:si>
  <x:si>
    <x:t xml:space="preserve">pass_right</x:t>
  </x:si>
  <x:si>
    <x:t xml:space="preserve">roundabout</x:t>
  </x:si>
  <x:si>
    <x:t xml:space="preserve">cars_only</x:t>
  </x:si>
  <x:si>
    <x:t xml:space="preserve">use_horn</x:t>
  </x:si>
  <x:si>
    <x:t xml:space="preserve">bicycle_path</x:t>
  </x:si>
  <x:si>
    <x:t xml:space="preserve">uturn_lane</x:t>
  </x:si>
  <x:si>
    <x:t xml:space="preserve">square</x:t>
  </x:si>
  <x:si>
    <x:t xml:space="preserve">Red</x:t>
  </x:si>
  <x:si>
    <x:t xml:space="preserve">speed_limit_5</x:t>
  </x:si>
  <x:si>
    <x:t xml:space="preserve">speed_limit_15</x:t>
  </x:si>
  <x:si>
    <x:t xml:space="preserve">speed_limit_30</x:t>
  </x:si>
  <x:si>
    <x:t xml:space="preserve">speed_limit_40</x:t>
  </x:si>
  <x:si>
    <x:t xml:space="preserve">speed_limit_50</x:t>
  </x:si>
  <x:si>
    <x:t xml:space="preserve">speed_limit_60</x:t>
  </x:si>
  <x:si>
    <x:t xml:space="preserve">speed_limit_80</x:t>
  </x:si>
  <x:si>
    <x:t xml:space="preserve">no_straight_or_left</x:t>
  </x:si>
  <x:si>
    <x:t xml:space="preserve">no_straight</x:t>
  </x:si>
  <x:si>
    <x:t xml:space="preserve">no_left</x:t>
  </x:si>
  <x:si>
    <x:t xml:space="preserve">no_left_and_right</x:t>
  </x:si>
  <x:si>
    <x:t xml:space="preserve">no_right</x:t>
  </x:si>
  <x:si>
    <x:t xml:space="preserve">no_overtaking</x:t>
  </x:si>
  <x:si>
    <x:t xml:space="preserve">no_uturn</x:t>
  </x:si>
  <x:si>
    <x:t xml:space="preserve">no_cars</x:t>
  </x:si>
  <x:si>
    <x:t xml:space="preserve">no_horn</x:t>
  </x:si>
  <x:si>
    <x:t xml:space="preserve">traffic_light_ahead</x:t>
  </x:si>
  <x:si>
    <x:t xml:space="preserve">triangle</x:t>
  </x:si>
  <x:si>
    <x:t xml:space="preserve">stop_sign</x:t>
  </x:si>
  <x:si>
    <x:t xml:space="preserve">octagon</x:t>
  </x:si>
  <x:si>
    <x:t xml:space="preserve">no_entry</x:t>
  </x:si>
  <x:si>
    <x:t xml:space="preserve">give_way</x:t>
  </x:si>
  <x:si>
    <x:t xml:space="preserve">stop_for_inspection</x:t>
  </x:si>
  <x:si>
    <x:t xml:space="preserve">Yellow</x:t>
  </x:si>
  <x:si>
    <x:t xml:space="preserve">lanes_merging</x:t>
  </x:si>
  <x:si>
    <x:t xml:space="preserve">general_warning</x:t>
  </x:si>
  <x:si>
    <x:t xml:space="preserve">pedestrian_crossing_warning</x:t>
  </x:si>
  <x:si>
    <x:t xml:space="preserve">bicycle_warning</x:t>
  </x:si>
  <x:si>
    <x:t xml:space="preserve">children_crossing_warning</x:t>
  </x:si>
  <x:si>
    <x:t xml:space="preserve">sharp_right_turn_warning</x:t>
  </x:si>
  <x:si>
    <x:t xml:space="preserve">steep_descent_warning</x:t>
  </x:si>
  <x:si>
    <x:t xml:space="preserve">slowdown_warning</x:t>
  </x:si>
  <x:si>
    <x:t xml:space="preserve">t_intersection_right_warning</x:t>
  </x:si>
  <x:si>
    <x:t xml:space="preserve">village_ahead_warning</x:t>
  </x:si>
  <x:si>
    <x:t xml:space="preserve">winding_road_warning</x:t>
  </x:si>
  <x:si>
    <x:t xml:space="preserve">railway_crossing_ahead_warning</x:t>
  </x:si>
  <x:si>
    <x:t xml:space="preserve">construction_ahead_warning</x:t>
  </x:si>
  <x:si>
    <x:t xml:space="preserve">slippery_road_warning</x:t>
  </x:si>
  <x:si>
    <x:t xml:space="preserve">gated_railway_crossing_ahead_warning</x:t>
  </x:si>
  <x:si>
    <x:t xml:space="preserve">accident_prone_area_warning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</x:si>
</x:sst>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sz val="11"/>
      <x:color rgb="FF375623"/>
      <x:name val="Calibri"/>
    </x:font>
    <x:font>
      <x:b/>
      <x:sz val="11"/>
      <x:color rgb="FF0F4C5C"/>
      <x:name val="Calibri"/>
    </x:font>
    <x:font>
      <x:sz val="11"/>
      <x:color rgb="FF7F6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2F0D9"/>
      </x:patternFill>
    </x:fill>
    <x:fill>
      <x:patternFill patternType="solid">
        <x:fgColor rgb="FFD9EAF0"/>
      </x:patternFill>
    </x:fill>
    <x:fill>
      <x:patternFill patternType="solid">
        <x:fgColor rgb="FFFFF2CC"/>
      </x:patternFill>
    </x:fill>
  </x:fills>
  <x:borders count="23">
    <x:border/>
    <x:border>
      <x:left style="medium">
        <x:color rgb="FF0B3642"/>
      </x:left>
      <x:top style="medium">
        <x:color rgb="FF0B3642"/>
      </x:top>
      <x:bottom style="medium">
        <x:color rgb="FF0B3642"/>
      </x:bottom>
    </x:border>
    <x:border>
      <x:top style="medium">
        <x:color rgb="FF0B3642"/>
      </x:top>
      <x:bottom style="medium">
        <x:color rgb="FF0B3642"/>
      </x:bottom>
    </x:border>
    <x:border>
      <x:right style="medium">
        <x:color rgb="FF0B3642"/>
      </x:right>
      <x:top style="medium">
        <x:color rgb="FF0B3642"/>
      </x:top>
      <x:bottom style="medium">
        <x:color rgb="FF0B3642"/>
      </x:bottom>
    </x:border>
    <x:border>
      <x:right style="thin">
        <x:color rgb="FFDCE5E8"/>
      </x:right>
      <x:bottom style="thin">
        <x:color rgb="FFDCE5E8"/>
      </x:bottom>
    </x:border>
    <x:border>
      <x:left style="thin">
        <x:color rgb="FFDCE5E8"/>
      </x:left>
      <x:right style="thin">
        <x:color rgb="FFDCE5E8"/>
      </x:right>
      <x:bottom style="thin">
        <x:color rgb="FFDCE5E8"/>
      </x:bottom>
    </x:border>
    <x:border>
      <x:left style="thin">
        <x:color rgb="FFDCE5E8"/>
      </x:left>
      <x:bottom style="thin">
        <x:color rgb="FFDCE5E8"/>
      </x:bottom>
    </x:border>
    <x:border>
      <x:right style="thin">
        <x:color rgb="FFDCE5E8"/>
      </x:right>
      <x:top style="thin">
        <x:color rgb="FFDCE5E8"/>
      </x:top>
      <x:bottom style="thin">
        <x:color rgb="FFDCE5E8"/>
      </x:bottom>
    </x:border>
    <x:border>
      <x:left style="thin">
        <x:color rgb="FFDCE5E8"/>
      </x:left>
      <x:right style="thin">
        <x:color rgb="FFDCE5E8"/>
      </x:right>
      <x:top style="thin">
        <x:color rgb="FFDCE5E8"/>
      </x:top>
      <x:bottom style="thin">
        <x:color rgb="FFDCE5E8"/>
      </x:bottom>
    </x:border>
    <x:border>
      <x:left style="thin">
        <x:color rgb="FFDCE5E8"/>
      </x:left>
      <x:top style="thin">
        <x:color rgb="FFDCE5E8"/>
      </x:top>
      <x:bottom style="thin">
        <x:color rgb="FFDCE5E8"/>
      </x:bottom>
    </x:border>
    <x:border>
      <x:right style="thin">
        <x:color rgb="FFDCE5E8"/>
      </x:right>
      <x:top style="thin">
        <x:color rgb="FFDCE5E8"/>
      </x:top>
    </x:border>
    <x:border>
      <x:left style="thin">
        <x:color rgb="FFDCE5E8"/>
      </x:left>
      <x:right style="thin">
        <x:color rgb="FFDCE5E8"/>
      </x:right>
      <x:top style="thin">
        <x:color rgb="FFDCE5E8"/>
      </x:top>
    </x:border>
    <x:border>
      <x:left style="thin">
        <x:color rgb="FFDCE5E8"/>
      </x:left>
      <x:top style="thin">
        <x:color rgb="FFDCE5E8"/>
      </x:top>
    </x:border>
    <x:border>
      <x:left style="thin">
        <x:color rgb="FF9ABBC6"/>
      </x:left>
      <x:top style="thin">
        <x:color rgb="FF9ABBC6"/>
      </x:top>
      <x:bottom style="thin">
        <x:color rgb="FF9ABBC6"/>
      </x:bottom>
    </x:border>
    <x:border>
      <x:right style="thin">
        <x:color rgb="FF9ABBC6"/>
      </x:right>
      <x:top style="thin">
        <x:color rgb="FF9ABBC6"/>
      </x:top>
      <x:bottom style="thin">
        <x:color rgb="FF9ABBC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Font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right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1" fillId="0" borderId="8" xfId="0" applyNumberFormat="1" applyFont="1" applyFill="1" applyBorder="1" applyAlignment="1">
      <x:alignment horizontal="right" vertical="center"/>
    </x:xf>
    <x:xf numFmtId="0" fontId="0" fillId="0" borderId="11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20" xfId="0" applyNumberFormat="1" applyFont="1" applyFill="1" applyBorder="1" applyAlignment="1">
      <x:alignment wrapText="1"/>
    </x:xf>
    <x:xf numFmtId="0" fontId="5" fillId="5" borderId="21" xfId="0" applyNumberFormat="1" applyFont="1" applyFill="1" applyBorder="1" applyAlignment="1">
      <x:alignment wrapText="1"/>
    </x:xf>
    <x:xf numFmtId="0" fontId="5" fillId="5" borderId="22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20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5" fillId="5" borderId="2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3746160d14508" /><Relationship Type="http://schemas.openxmlformats.org/officeDocument/2006/relationships/theme" Target="/xl/theme/theme1.xml" Id="Rdbfac69c64864464" /><Relationship Type="http://schemas.openxmlformats.org/officeDocument/2006/relationships/sharedStrings" Target="/xl/sharedStrings.xml" Id="R4bc1262db0c84f4e" /><Relationship Type="http://schemas.openxmlformats.org/officeDocument/2006/relationships/worksheet" Target="/xl/worksheets/sheet1.xml" Id="Rb5bb3d32db0f4c28" /><Relationship Type="http://schemas.openxmlformats.org/officeDocument/2006/relationships/worksheet" Target="/xl/worksheets/sheet2.xml" Id="Rc7665263c57441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2" max="2" width="19" hidden="0" customWidth="1"/>
    <x:col min="3" max="3" width="36" hidden="0" customWidth="1"/>
    <x:col min="1" max="1" width="12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36" hidden="0" customWidth="1"/>
    <x:col min="9" max="9" width="31" hidden="0" customWidth="1"/>
  </x:cols>
  <x:sheetData>
    <x:row r="1" ht="32" customHeight="1">
      <x:c r="A1" s="13" t="s">
        <x:v>0</x:v>
      </x:c>
      <x:c r="B1" s="14" t="str">
        <x:v>Images in seed set (84)</x:v>
      </x:c>
      <x:c r="C1" s="14" t="s">
        <x:v>1</x:v>
      </x:c>
      <x:c r="D1" s="14" t="s">
        <x:v>2</x:v>
      </x:c>
      <x:c r="E1" s="14" t="str">
        <x:v>YOLO ID</x:v>
      </x:c>
      <x:c r="F1" s="14" t="str">
        <x:v>Additional originals needed</x:v>
      </x:c>
      <x:c r="G1" s="14" t="str">
        <x:v>Target original images</x:v>
      </x:c>
      <x:c r="H1" s="14" t="str">
        <x:v>Roboflow class name</x:v>
      </x:c>
      <x:c r="I1" s="15" t="str">
        <x:v>Initial annotation status</x:v>
      </x:c>
    </x:row>
    <x:row r="2" ht="22" customHeight="1">
      <x:c r="A2" s="52" t="s">
        <x:v>3</x:v>
      </x:c>
      <x:c r="B2" s="53">
        <x:v>4</x:v>
      </x:c>
      <x:c r="C2" s="54" t="s">
        <x:v>4</x:v>
      </x:c>
      <x:c r="D2" s="55" t="s">
        <x:v>5</x:v>
      </x:c>
      <x:c r="E2" s="53" t="n">
        <x:v>0</x:v>
      </x:c>
      <x:c r="F2" s="53" t="n">
        <x:f>MAX(0,G2-B2)</x:f>
        <x:v>16</x:v>
      </x:c>
      <x:c r="G2" s="53" t="n">
        <x:v>20</x:v>
      </x:c>
      <x:c r="H2" s="54" t="str">
        <x:f>C2</x:f>
        <x:v>straight_or_right</x:v>
      </x:c>
      <x:c r="I2" s="56" t="str">
        <x:v>Seed identified — annotate in Roboflow</x:v>
      </x:c>
    </x:row>
    <x:row r="3" ht="22" customHeight="1">
      <x:c r="A3" s="57" t="s">
        <x:v>3</x:v>
      </x:c>
      <x:c r="B3" s="58">
        <x:v>2</x:v>
      </x:c>
      <x:c r="C3" s="59" t="s">
        <x:v>6</x:v>
      </x:c>
      <x:c r="D3" s="60" t="s">
        <x:v>5</x:v>
      </x:c>
      <x:c r="E3" s="58" t="n">
        <x:v>1</x:v>
      </x:c>
      <x:c r="F3" s="58" t="n">
        <x:f>MAX(0,G3-B3)</x:f>
        <x:v>18</x:v>
      </x:c>
      <x:c r="G3" s="58" t="n">
        <x:v>20</x:v>
      </x:c>
      <x:c r="H3" s="59" t="str">
        <x:f>C3</x:f>
        <x:v>straight_only</x:v>
      </x:c>
      <x:c r="I3" s="61" t="str">
        <x:v>Seed identified — annotate in Roboflow</x:v>
      </x:c>
    </x:row>
    <x:row r="4" ht="22" customHeight="1">
      <x:c r="A4" s="57" t="s">
        <x:v>3</x:v>
      </x:c>
      <x:c r="B4" s="58">
        <x:v>2</x:v>
      </x:c>
      <x:c r="C4" s="59" t="s">
        <x:v>7</x:v>
      </x:c>
      <x:c r="D4" s="60" t="s">
        <x:v>5</x:v>
      </x:c>
      <x:c r="E4" s="58" t="n">
        <x:v>2</x:v>
      </x:c>
      <x:c r="F4" s="58" t="n">
        <x:f>MAX(0,G4-B4)</x:f>
        <x:v>18</x:v>
      </x:c>
      <x:c r="G4" s="58" t="n">
        <x:v>20</x:v>
      </x:c>
      <x:c r="H4" s="59" t="str">
        <x:f>C4</x:f>
        <x:v>basement_entrance</x:v>
      </x:c>
      <x:c r="I4" s="61" t="str">
        <x:v>Seed identified — annotate in Roboflow</x:v>
      </x:c>
    </x:row>
    <x:row r="5" ht="22" customHeight="1">
      <x:c r="A5" s="57" t="s">
        <x:v>3</x:v>
      </x:c>
      <x:c r="B5" s="58">
        <x:v>1</x:v>
      </x:c>
      <x:c r="C5" s="59" t="s">
        <x:v>8</x:v>
      </x:c>
      <x:c r="D5" s="60" t="s">
        <x:v>5</x:v>
      </x:c>
      <x:c r="E5" s="58" t="n">
        <x:v>3</x:v>
      </x:c>
      <x:c r="F5" s="58" t="n">
        <x:f>MAX(0,G5-B5)</x:f>
        <x:v>19</x:v>
      </x:c>
      <x:c r="G5" s="58" t="n">
        <x:v>20</x:v>
      </x:c>
      <x:c r="H5" s="59" t="str">
        <x:f>C5</x:f>
        <x:v>left_turn_only</x:v>
      </x:c>
      <x:c r="I5" s="61" t="str">
        <x:v>Seed identified — annotate in Roboflow</x:v>
      </x:c>
    </x:row>
    <x:row r="6" ht="22" customHeight="1">
      <x:c r="A6" s="57" t="s">
        <x:v>3</x:v>
      </x:c>
      <x:c r="B6" s="58">
        <x:v>4</x:v>
      </x:c>
      <x:c r="C6" s="59" t="s">
        <x:v>9</x:v>
      </x:c>
      <x:c r="D6" s="60" t="s">
        <x:v>5</x:v>
      </x:c>
      <x:c r="E6" s="58" t="n">
        <x:v>4</x:v>
      </x:c>
      <x:c r="F6" s="58" t="n">
        <x:f>MAX(0,G6-B6)</x:f>
        <x:v>16</x:v>
      </x:c>
      <x:c r="G6" s="58" t="n">
        <x:v>20</x:v>
      </x:c>
      <x:c r="H6" s="59" t="str">
        <x:f>C6</x:f>
        <x:v>left_or_right</x:v>
      </x:c>
      <x:c r="I6" s="61" t="str">
        <x:v>Seed identified — annotate in Roboflow</x:v>
      </x:c>
    </x:row>
    <x:row r="7" ht="22" customHeight="1">
      <x:c r="A7" s="57" t="s">
        <x:v>3</x:v>
      </x:c>
      <x:c r="B7" s="58">
        <x:v>2</x:v>
      </x:c>
      <x:c r="C7" s="59" t="s">
        <x:v>10</x:v>
      </x:c>
      <x:c r="D7" s="60" t="s">
        <x:v>5</x:v>
      </x:c>
      <x:c r="E7" s="58" t="n">
        <x:v>5</x:v>
      </x:c>
      <x:c r="F7" s="58" t="n">
        <x:f>MAX(0,G7-B7)</x:f>
        <x:v>18</x:v>
      </x:c>
      <x:c r="G7" s="58" t="n">
        <x:v>20</x:v>
      </x:c>
      <x:c r="H7" s="59" t="str">
        <x:f>C7</x:f>
        <x:v>right_turn_only</x:v>
      </x:c>
      <x:c r="I7" s="61" t="str">
        <x:v>Seed identified — annotate in Roboflow</x:v>
      </x:c>
    </x:row>
    <x:row r="8" ht="22" customHeight="1">
      <x:c r="A8" s="57" t="s">
        <x:v>3</x:v>
      </x:c>
      <x:c r="B8" s="58">
        <x:v>1</x:v>
      </x:c>
      <x:c r="C8" s="59" t="s">
        <x:v>11</x:v>
      </x:c>
      <x:c r="D8" s="60" t="s">
        <x:v>5</x:v>
      </x:c>
      <x:c r="E8" s="58" t="n">
        <x:v>6</x:v>
      </x:c>
      <x:c r="F8" s="58" t="n">
        <x:f>MAX(0,G8-B8)</x:f>
        <x:v>19</x:v>
      </x:c>
      <x:c r="G8" s="58" t="n">
        <x:v>20</x:v>
      </x:c>
      <x:c r="H8" s="59" t="str">
        <x:f>C8</x:f>
        <x:v>pass_right</x:v>
      </x:c>
      <x:c r="I8" s="61" t="str">
        <x:v>Seed identified — annotate in Roboflow</x:v>
      </x:c>
    </x:row>
    <x:row r="9" ht="22" customHeight="1">
      <x:c r="A9" s="57" t="s">
        <x:v>3</x:v>
      </x:c>
      <x:c r="B9" s="58">
        <x:v>3</x:v>
      </x:c>
      <x:c r="C9" s="59" t="s">
        <x:v>12</x:v>
      </x:c>
      <x:c r="D9" s="60" t="s">
        <x:v>5</x:v>
      </x:c>
      <x:c r="E9" s="58" t="n">
        <x:v>7</x:v>
      </x:c>
      <x:c r="F9" s="58" t="n">
        <x:f>MAX(0,G9-B9)</x:f>
        <x:v>17</x:v>
      </x:c>
      <x:c r="G9" s="58" t="n">
        <x:v>20</x:v>
      </x:c>
      <x:c r="H9" s="59" t="str">
        <x:f>C9</x:f>
        <x:v>roundabout</x:v>
      </x:c>
      <x:c r="I9" s="61" t="str">
        <x:v>Seed identified — annotate in Roboflow</x:v>
      </x:c>
    </x:row>
    <x:row r="10" ht="22" customHeight="1">
      <x:c r="A10" s="57" t="s">
        <x:v>3</x:v>
      </x:c>
      <x:c r="B10" s="58">
        <x:v>3</x:v>
      </x:c>
      <x:c r="C10" s="59" t="s">
        <x:v>13</x:v>
      </x:c>
      <x:c r="D10" s="60" t="s">
        <x:v>5</x:v>
      </x:c>
      <x:c r="E10" s="58" t="n">
        <x:v>8</x:v>
      </x:c>
      <x:c r="F10" s="58" t="n">
        <x:f>MAX(0,G10-B10)</x:f>
        <x:v>17</x:v>
      </x:c>
      <x:c r="G10" s="58" t="n">
        <x:v>20</x:v>
      </x:c>
      <x:c r="H10" s="59" t="str">
        <x:f>C10</x:f>
        <x:v>cars_only</x:v>
      </x:c>
      <x:c r="I10" s="61" t="str">
        <x:v>Seed identified — annotate in Roboflow</x:v>
      </x:c>
    </x:row>
    <x:row r="11" ht="22" customHeight="1">
      <x:c r="A11" s="57" t="s">
        <x:v>3</x:v>
      </x:c>
      <x:c r="B11" s="58">
        <x:v>1</x:v>
      </x:c>
      <x:c r="C11" s="59" t="s">
        <x:v>14</x:v>
      </x:c>
      <x:c r="D11" s="60" t="s">
        <x:v>5</x:v>
      </x:c>
      <x:c r="E11" s="58" t="n">
        <x:v>9</x:v>
      </x:c>
      <x:c r="F11" s="58" t="n">
        <x:f>MAX(0,G11-B11)</x:f>
        <x:v>19</x:v>
      </x:c>
      <x:c r="G11" s="58" t="n">
        <x:v>20</x:v>
      </x:c>
      <x:c r="H11" s="59" t="str">
        <x:f>C11</x:f>
        <x:v>use_horn</x:v>
      </x:c>
      <x:c r="I11" s="61" t="str">
        <x:v>Seed identified — annotate in Roboflow</x:v>
      </x:c>
    </x:row>
    <x:row r="12" ht="22" customHeight="1">
      <x:c r="A12" s="57" t="s">
        <x:v>3</x:v>
      </x:c>
      <x:c r="B12" s="58">
        <x:v>3</x:v>
      </x:c>
      <x:c r="C12" s="59" t="s">
        <x:v>15</x:v>
      </x:c>
      <x:c r="D12" s="60" t="s">
        <x:v>5</x:v>
      </x:c>
      <x:c r="E12" s="58" t="n">
        <x:v>10</x:v>
      </x:c>
      <x:c r="F12" s="58" t="n">
        <x:f>MAX(0,G12-B12)</x:f>
        <x:v>17</x:v>
      </x:c>
      <x:c r="G12" s="58" t="n">
        <x:v>20</x:v>
      </x:c>
      <x:c r="H12" s="59" t="str">
        <x:f>C12</x:f>
        <x:v>bicycle_path</x:v>
      </x:c>
      <x:c r="I12" s="61" t="str">
        <x:v>Seed identified — annotate in Roboflow</x:v>
      </x:c>
    </x:row>
    <x:row r="13" ht="22" customHeight="1">
      <x:c r="A13" s="57" t="s">
        <x:v>3</x:v>
      </x:c>
      <x:c r="B13" s="58">
        <x:v>2</x:v>
      </x:c>
      <x:c r="C13" s="59" t="s">
        <x:v>16</x:v>
      </x:c>
      <x:c r="D13" s="60" t="s">
        <x:v>17</x:v>
      </x:c>
      <x:c r="E13" s="58" t="n">
        <x:v>11</x:v>
      </x:c>
      <x:c r="F13" s="58" t="n">
        <x:f>MAX(0,G13-B13)</x:f>
        <x:v>18</x:v>
      </x:c>
      <x:c r="G13" s="58" t="n">
        <x:v>20</x:v>
      </x:c>
      <x:c r="H13" s="59" t="str">
        <x:f>C13</x:f>
        <x:v>uturn_lane</x:v>
      </x:c>
      <x:c r="I13" s="61" t="str">
        <x:v>Seed identified — annotate in Roboflow</x:v>
      </x:c>
    </x:row>
    <x:row r="14" ht="22" customHeight="1">
      <x:c r="A14" s="57" t="s">
        <x:v>18</x:v>
      </x:c>
      <x:c r="B14" s="58">
        <x:v>4</x:v>
      </x:c>
      <x:c r="C14" s="59" t="s">
        <x:v>19</x:v>
      </x:c>
      <x:c r="D14" s="60" t="s">
        <x:v>5</x:v>
      </x:c>
      <x:c r="E14" s="58" t="n">
        <x:v>12</x:v>
      </x:c>
      <x:c r="F14" s="58" t="n">
        <x:f>MAX(0,G14-B14)</x:f>
        <x:v>16</x:v>
      </x:c>
      <x:c r="G14" s="58" t="n">
        <x:v>20</x:v>
      </x:c>
      <x:c r="H14" s="59" t="str">
        <x:f>C14</x:f>
        <x:v>speed_limit_5</x:v>
      </x:c>
      <x:c r="I14" s="61" t="str">
        <x:v>Seed identified — annotate in Roboflow</x:v>
      </x:c>
    </x:row>
    <x:row r="15" ht="22" customHeight="1">
      <x:c r="A15" s="57" t="s">
        <x:v>18</x:v>
      </x:c>
      <x:c r="B15" s="58">
        <x:v>2</x:v>
      </x:c>
      <x:c r="C15" s="59" t="s">
        <x:v>20</x:v>
      </x:c>
      <x:c r="D15" s="60" t="s">
        <x:v>5</x:v>
      </x:c>
      <x:c r="E15" s="58" t="n">
        <x:v>13</x:v>
      </x:c>
      <x:c r="F15" s="58" t="n">
        <x:f>MAX(0,G15-B15)</x:f>
        <x:v>18</x:v>
      </x:c>
      <x:c r="G15" s="58" t="n">
        <x:v>20</x:v>
      </x:c>
      <x:c r="H15" s="59" t="str">
        <x:f>C15</x:f>
        <x:v>speed_limit_15</x:v>
      </x:c>
      <x:c r="I15" s="61" t="str">
        <x:v>Seed identified — annotate in Roboflow</x:v>
      </x:c>
    </x:row>
    <x:row r="16" ht="22" customHeight="1">
      <x:c r="A16" s="57" t="s">
        <x:v>18</x:v>
      </x:c>
      <x:c r="B16" s="58">
        <x:v>2</x:v>
      </x:c>
      <x:c r="C16" s="59" t="s">
        <x:v>21</x:v>
      </x:c>
      <x:c r="D16" s="60" t="s">
        <x:v>5</x:v>
      </x:c>
      <x:c r="E16" s="58" t="n">
        <x:v>14</x:v>
      </x:c>
      <x:c r="F16" s="58" t="n">
        <x:f>MAX(0,G16-B16)</x:f>
        <x:v>18</x:v>
      </x:c>
      <x:c r="G16" s="58" t="n">
        <x:v>20</x:v>
      </x:c>
      <x:c r="H16" s="59" t="str">
        <x:f>C16</x:f>
        <x:v>speed_limit_30</x:v>
      </x:c>
      <x:c r="I16" s="61" t="str">
        <x:v>Seed identified — annotate in Roboflow</x:v>
      </x:c>
    </x:row>
    <x:row r="17" ht="22" customHeight="1">
      <x:c r="A17" s="57" t="s">
        <x:v>18</x:v>
      </x:c>
      <x:c r="B17" s="58">
        <x:v>1</x:v>
      </x:c>
      <x:c r="C17" s="59" t="s">
        <x:v>22</x:v>
      </x:c>
      <x:c r="D17" s="60" t="s">
        <x:v>5</x:v>
      </x:c>
      <x:c r="E17" s="58" t="n">
        <x:v>15</x:v>
      </x:c>
      <x:c r="F17" s="58" t="n">
        <x:f>MAX(0,G17-B17)</x:f>
        <x:v>19</x:v>
      </x:c>
      <x:c r="G17" s="58" t="n">
        <x:v>20</x:v>
      </x:c>
      <x:c r="H17" s="59" t="str">
        <x:f>C17</x:f>
        <x:v>speed_limit_40</x:v>
      </x:c>
      <x:c r="I17" s="61" t="str">
        <x:v>Seed identified — annotate in Roboflow</x:v>
      </x:c>
    </x:row>
    <x:row r="18" ht="22" customHeight="1">
      <x:c r="A18" s="57" t="s">
        <x:v>18</x:v>
      </x:c>
      <x:c r="B18" s="58">
        <x:v>1</x:v>
      </x:c>
      <x:c r="C18" s="59" t="s">
        <x:v>23</x:v>
      </x:c>
      <x:c r="D18" s="60" t="s">
        <x:v>5</x:v>
      </x:c>
      <x:c r="E18" s="58" t="n">
        <x:v>16</x:v>
      </x:c>
      <x:c r="F18" s="58" t="n">
        <x:f>MAX(0,G18-B18)</x:f>
        <x:v>19</x:v>
      </x:c>
      <x:c r="G18" s="58" t="n">
        <x:v>20</x:v>
      </x:c>
      <x:c r="H18" s="59" t="str">
        <x:f>C18</x:f>
        <x:v>speed_limit_50</x:v>
      </x:c>
      <x:c r="I18" s="61" t="str">
        <x:v>Seed identified — annotate in Roboflow</x:v>
      </x:c>
    </x:row>
    <x:row r="19" ht="22" customHeight="1">
      <x:c r="A19" s="57" t="s">
        <x:v>18</x:v>
      </x:c>
      <x:c r="B19" s="58">
        <x:v>2</x:v>
      </x:c>
      <x:c r="C19" s="59" t="s">
        <x:v>24</x:v>
      </x:c>
      <x:c r="D19" s="60" t="s">
        <x:v>5</x:v>
      </x:c>
      <x:c r="E19" s="58" t="n">
        <x:v>17</x:v>
      </x:c>
      <x:c r="F19" s="58" t="n">
        <x:f>MAX(0,G19-B19)</x:f>
        <x:v>18</x:v>
      </x:c>
      <x:c r="G19" s="58" t="n">
        <x:v>20</x:v>
      </x:c>
      <x:c r="H19" s="59" t="str">
        <x:f>C19</x:f>
        <x:v>speed_limit_60</x:v>
      </x:c>
      <x:c r="I19" s="61" t="str">
        <x:v>Seed identified — annotate in Roboflow</x:v>
      </x:c>
    </x:row>
    <x:row r="20" ht="22" customHeight="1">
      <x:c r="A20" s="57" t="s">
        <x:v>18</x:v>
      </x:c>
      <x:c r="B20" s="58">
        <x:v>1</x:v>
      </x:c>
      <x:c r="C20" s="59" t="s">
        <x:v>25</x:v>
      </x:c>
      <x:c r="D20" s="60" t="s">
        <x:v>5</x:v>
      </x:c>
      <x:c r="E20" s="58" t="n">
        <x:v>18</x:v>
      </x:c>
      <x:c r="F20" s="58" t="n">
        <x:f>MAX(0,G20-B20)</x:f>
        <x:v>19</x:v>
      </x:c>
      <x:c r="G20" s="58" t="n">
        <x:v>20</x:v>
      </x:c>
      <x:c r="H20" s="59" t="str">
        <x:f>C20</x:f>
        <x:v>speed_limit_80</x:v>
      </x:c>
      <x:c r="I20" s="61" t="str">
        <x:v>Seed identified — annotate in Roboflow</x:v>
      </x:c>
    </x:row>
    <x:row r="21" ht="22" customHeight="1">
      <x:c r="A21" s="57" t="s">
        <x:v>18</x:v>
      </x:c>
      <x:c r="B21" s="58">
        <x:v>1</x:v>
      </x:c>
      <x:c r="C21" s="59" t="s">
        <x:v>26</x:v>
      </x:c>
      <x:c r="D21" s="60" t="s">
        <x:v>5</x:v>
      </x:c>
      <x:c r="E21" s="58" t="n">
        <x:v>19</x:v>
      </x:c>
      <x:c r="F21" s="58" t="n">
        <x:f>MAX(0,G21-B21)</x:f>
        <x:v>19</x:v>
      </x:c>
      <x:c r="G21" s="58" t="n">
        <x:v>20</x:v>
      </x:c>
      <x:c r="H21" s="59" t="str">
        <x:f>C21</x:f>
        <x:v>no_straight_or_left</x:v>
      </x:c>
      <x:c r="I21" s="61" t="str">
        <x:v>Seed identified — annotate in Roboflow</x:v>
      </x:c>
    </x:row>
    <x:row r="22" ht="22" customHeight="1">
      <x:c r="A22" s="57" t="s">
        <x:v>18</x:v>
      </x:c>
      <x:c r="B22" s="58">
        <x:v>1</x:v>
      </x:c>
      <x:c r="C22" s="59" t="s">
        <x:v>27</x:v>
      </x:c>
      <x:c r="D22" s="60" t="s">
        <x:v>5</x:v>
      </x:c>
      <x:c r="E22" s="58" t="n">
        <x:v>20</x:v>
      </x:c>
      <x:c r="F22" s="58" t="n">
        <x:f>MAX(0,G22-B22)</x:f>
        <x:v>19</x:v>
      </x:c>
      <x:c r="G22" s="58" t="n">
        <x:v>20</x:v>
      </x:c>
      <x:c r="H22" s="59" t="str">
        <x:f>C22</x:f>
        <x:v>no_straight</x:v>
      </x:c>
      <x:c r="I22" s="61" t="str">
        <x:v>Seed identified — annotate in Roboflow</x:v>
      </x:c>
    </x:row>
    <x:row r="23" ht="22" customHeight="1">
      <x:c r="A23" s="57" t="s">
        <x:v>18</x:v>
      </x:c>
      <x:c r="B23" s="58">
        <x:v>2</x:v>
      </x:c>
      <x:c r="C23" s="59" t="s">
        <x:v>28</x:v>
      </x:c>
      <x:c r="D23" s="60" t="s">
        <x:v>5</x:v>
      </x:c>
      <x:c r="E23" s="58" t="n">
        <x:v>21</x:v>
      </x:c>
      <x:c r="F23" s="58" t="n">
        <x:f>MAX(0,G23-B23)</x:f>
        <x:v>18</x:v>
      </x:c>
      <x:c r="G23" s="58" t="n">
        <x:v>20</x:v>
      </x:c>
      <x:c r="H23" s="59" t="str">
        <x:f>C23</x:f>
        <x:v>no_left</x:v>
      </x:c>
      <x:c r="I23" s="61" t="str">
        <x:v>Seed identified — annotate in Roboflow</x:v>
      </x:c>
    </x:row>
    <x:row r="24" ht="22" customHeight="1">
      <x:c r="A24" s="57" t="s">
        <x:v>18</x:v>
      </x:c>
      <x:c r="B24" s="58">
        <x:v>1</x:v>
      </x:c>
      <x:c r="C24" s="59" t="s">
        <x:v>29</x:v>
      </x:c>
      <x:c r="D24" s="60" t="s">
        <x:v>5</x:v>
      </x:c>
      <x:c r="E24" s="58" t="n">
        <x:v>22</x:v>
      </x:c>
      <x:c r="F24" s="58" t="n">
        <x:f>MAX(0,G24-B24)</x:f>
        <x:v>19</x:v>
      </x:c>
      <x:c r="G24" s="58" t="n">
        <x:v>20</x:v>
      </x:c>
      <x:c r="H24" s="59" t="str">
        <x:f>C24</x:f>
        <x:v>no_left_and_right</x:v>
      </x:c>
      <x:c r="I24" s="61" t="str">
        <x:v>Seed identified — annotate in Roboflow</x:v>
      </x:c>
    </x:row>
    <x:row r="25" ht="22" customHeight="1">
      <x:c r="A25" s="57" t="s">
        <x:v>18</x:v>
      </x:c>
      <x:c r="B25" s="58">
        <x:v>1</x:v>
      </x:c>
      <x:c r="C25" s="59" t="s">
        <x:v>30</x:v>
      </x:c>
      <x:c r="D25" s="60" t="s">
        <x:v>5</x:v>
      </x:c>
      <x:c r="E25" s="58" t="n">
        <x:v>23</x:v>
      </x:c>
      <x:c r="F25" s="58" t="n">
        <x:f>MAX(0,G25-B25)</x:f>
        <x:v>19</x:v>
      </x:c>
      <x:c r="G25" s="58" t="n">
        <x:v>20</x:v>
      </x:c>
      <x:c r="H25" s="59" t="str">
        <x:f>C25</x:f>
        <x:v>no_right</x:v>
      </x:c>
      <x:c r="I25" s="61" t="str">
        <x:v>Seed identified — annotate in Roboflow</x:v>
      </x:c>
    </x:row>
    <x:row r="26" ht="22" customHeight="1">
      <x:c r="A26" s="57" t="s">
        <x:v>18</x:v>
      </x:c>
      <x:c r="B26" s="58">
        <x:v>1</x:v>
      </x:c>
      <x:c r="C26" s="59" t="s">
        <x:v>31</x:v>
      </x:c>
      <x:c r="D26" s="60" t="s">
        <x:v>5</x:v>
      </x:c>
      <x:c r="E26" s="58" t="n">
        <x:v>24</x:v>
      </x:c>
      <x:c r="F26" s="58" t="n">
        <x:f>MAX(0,G26-B26)</x:f>
        <x:v>19</x:v>
      </x:c>
      <x:c r="G26" s="58" t="n">
        <x:v>20</x:v>
      </x:c>
      <x:c r="H26" s="59" t="str">
        <x:f>C26</x:f>
        <x:v>no_overtaking</x:v>
      </x:c>
      <x:c r="I26" s="61" t="str">
        <x:v>Seed identified — annotate in Roboflow</x:v>
      </x:c>
    </x:row>
    <x:row r="27" ht="22" customHeight="1">
      <x:c r="A27" s="57" t="s">
        <x:v>18</x:v>
      </x:c>
      <x:c r="B27" s="58">
        <x:v>1</x:v>
      </x:c>
      <x:c r="C27" s="59" t="s">
        <x:v>32</x:v>
      </x:c>
      <x:c r="D27" s="60" t="s">
        <x:v>5</x:v>
      </x:c>
      <x:c r="E27" s="58" t="n">
        <x:v>25</x:v>
      </x:c>
      <x:c r="F27" s="58" t="n">
        <x:f>MAX(0,G27-B27)</x:f>
        <x:v>19</x:v>
      </x:c>
      <x:c r="G27" s="58" t="n">
        <x:v>20</x:v>
      </x:c>
      <x:c r="H27" s="59" t="str">
        <x:f>C27</x:f>
        <x:v>no_uturn</x:v>
      </x:c>
      <x:c r="I27" s="61" t="str">
        <x:v>Seed identified — annotate in Roboflow</x:v>
      </x:c>
    </x:row>
    <x:row r="28" ht="22" customHeight="1">
      <x:c r="A28" s="57" t="s">
        <x:v>18</x:v>
      </x:c>
      <x:c r="B28" s="58">
        <x:v>1</x:v>
      </x:c>
      <x:c r="C28" s="59" t="s">
        <x:v>33</x:v>
      </x:c>
      <x:c r="D28" s="60" t="s">
        <x:v>5</x:v>
      </x:c>
      <x:c r="E28" s="58" t="n">
        <x:v>26</x:v>
      </x:c>
      <x:c r="F28" s="58" t="n">
        <x:f>MAX(0,G28-B28)</x:f>
        <x:v>19</x:v>
      </x:c>
      <x:c r="G28" s="58" t="n">
        <x:v>20</x:v>
      </x:c>
      <x:c r="H28" s="59" t="str">
        <x:f>C28</x:f>
        <x:v>no_cars</x:v>
      </x:c>
      <x:c r="I28" s="61" t="str">
        <x:v>Seed identified — annotate in Roboflow</x:v>
      </x:c>
    </x:row>
    <x:row r="29" ht="22" customHeight="1">
      <x:c r="A29" s="57" t="s">
        <x:v>18</x:v>
      </x:c>
      <x:c r="B29" s="58">
        <x:v>1</x:v>
      </x:c>
      <x:c r="C29" s="59" t="s">
        <x:v>34</x:v>
      </x:c>
      <x:c r="D29" s="60" t="s">
        <x:v>5</x:v>
      </x:c>
      <x:c r="E29" s="58" t="n">
        <x:v>27</x:v>
      </x:c>
      <x:c r="F29" s="58" t="n">
        <x:f>MAX(0,G29-B29)</x:f>
        <x:v>19</x:v>
      </x:c>
      <x:c r="G29" s="58" t="n">
        <x:v>20</x:v>
      </x:c>
      <x:c r="H29" s="59" t="str">
        <x:f>C29</x:f>
        <x:v>no_horn</x:v>
      </x:c>
      <x:c r="I29" s="61" t="str">
        <x:v>Seed identified — annotate in Roboflow</x:v>
      </x:c>
    </x:row>
    <x:row r="30" ht="22" customHeight="1">
      <x:c r="A30" s="57" t="s">
        <x:v>18</x:v>
      </x:c>
      <x:c r="B30" s="58">
        <x:v>1</x:v>
      </x:c>
      <x:c r="C30" s="59" t="s">
        <x:v>35</x:v>
      </x:c>
      <x:c r="D30" s="60" t="s">
        <x:v>36</x:v>
      </x:c>
      <x:c r="E30" s="58" t="n">
        <x:v>28</x:v>
      </x:c>
      <x:c r="F30" s="58" t="n">
        <x:f>MAX(0,G30-B30)</x:f>
        <x:v>19</x:v>
      </x:c>
      <x:c r="G30" s="58" t="n">
        <x:v>20</x:v>
      </x:c>
      <x:c r="H30" s="59" t="str">
        <x:f>C30</x:f>
        <x:v>traffic_light_ahead</x:v>
      </x:c>
      <x:c r="I30" s="61" t="str">
        <x:v>Seed identified — annotate in Roboflow</x:v>
      </x:c>
    </x:row>
    <x:row r="31" ht="22" customHeight="1">
      <x:c r="A31" s="57" t="s">
        <x:v>18</x:v>
      </x:c>
      <x:c r="B31" s="58">
        <x:v>1</x:v>
      </x:c>
      <x:c r="C31" s="59" t="s">
        <x:v>37</x:v>
      </x:c>
      <x:c r="D31" s="60" t="s">
        <x:v>38</x:v>
      </x:c>
      <x:c r="E31" s="58" t="n">
        <x:v>29</x:v>
      </x:c>
      <x:c r="F31" s="58" t="n">
        <x:f>MAX(0,G31-B31)</x:f>
        <x:v>19</x:v>
      </x:c>
      <x:c r="G31" s="58" t="n">
        <x:v>20</x:v>
      </x:c>
      <x:c r="H31" s="59" t="str">
        <x:f>C31</x:f>
        <x:v>stop_sign</x:v>
      </x:c>
      <x:c r="I31" s="61" t="str">
        <x:v>Seed identified — annotate in Roboflow</x:v>
      </x:c>
    </x:row>
    <x:row r="32" ht="22" customHeight="1">
      <x:c r="A32" s="57" t="s">
        <x:v>18</x:v>
      </x:c>
      <x:c r="B32" s="58">
        <x:v>1</x:v>
      </x:c>
      <x:c r="C32" s="59" t="s">
        <x:v>39</x:v>
      </x:c>
      <x:c r="D32" s="60" t="s">
        <x:v>5</x:v>
      </x:c>
      <x:c r="E32" s="58" t="n">
        <x:v>30</x:v>
      </x:c>
      <x:c r="F32" s="58" t="n">
        <x:f>MAX(0,G32-B32)</x:f>
        <x:v>19</x:v>
      </x:c>
      <x:c r="G32" s="58" t="n">
        <x:v>20</x:v>
      </x:c>
      <x:c r="H32" s="59" t="str">
        <x:f>C32</x:f>
        <x:v>no_entry</x:v>
      </x:c>
      <x:c r="I32" s="61" t="str">
        <x:v>Seed identified — annotate in Roboflow</x:v>
      </x:c>
    </x:row>
    <x:row r="33" ht="22" customHeight="1">
      <x:c r="A33" s="57" t="s">
        <x:v>18</x:v>
      </x:c>
      <x:c r="B33" s="58">
        <x:v>1</x:v>
      </x:c>
      <x:c r="C33" s="59" t="s">
        <x:v>40</x:v>
      </x:c>
      <x:c r="D33" s="60" t="s">
        <x:v>36</x:v>
      </x:c>
      <x:c r="E33" s="58" t="n">
        <x:v>31</x:v>
      </x:c>
      <x:c r="F33" s="58" t="n">
        <x:f>MAX(0,G33-B33)</x:f>
        <x:v>19</x:v>
      </x:c>
      <x:c r="G33" s="58" t="n">
        <x:v>20</x:v>
      </x:c>
      <x:c r="H33" s="59" t="str">
        <x:f>C33</x:f>
        <x:v>give_way</x:v>
      </x:c>
      <x:c r="I33" s="61" t="str">
        <x:v>Seed identified — annotate in Roboflow</x:v>
      </x:c>
    </x:row>
    <x:row r="34" ht="22" customHeight="1">
      <x:c r="A34" s="57" t="s">
        <x:v>18</x:v>
      </x:c>
      <x:c r="B34" s="58">
        <x:v>1</x:v>
      </x:c>
      <x:c r="C34" s="59" t="s">
        <x:v>41</x:v>
      </x:c>
      <x:c r="D34" s="60" t="s">
        <x:v>5</x:v>
      </x:c>
      <x:c r="E34" s="58" t="n">
        <x:v>32</x:v>
      </x:c>
      <x:c r="F34" s="58" t="n">
        <x:f>MAX(0,G34-B34)</x:f>
        <x:v>19</x:v>
      </x:c>
      <x:c r="G34" s="58" t="n">
        <x:v>20</x:v>
      </x:c>
      <x:c r="H34" s="59" t="str">
        <x:f>C34</x:f>
        <x:v>stop_for_inspection</x:v>
      </x:c>
      <x:c r="I34" s="61" t="str">
        <x:v>Seed identified — annotate in Roboflow</x:v>
      </x:c>
    </x:row>
    <x:row r="35" ht="22" customHeight="1">
      <x:c r="A35" s="57" t="s">
        <x:v>42</x:v>
      </x:c>
      <x:c r="B35" s="62">
        <x:v>2</x:v>
      </x:c>
      <x:c r="C35" s="59" t="s">
        <x:v>43</x:v>
      </x:c>
      <x:c r="D35" s="60" t="s">
        <x:v>36</x:v>
      </x:c>
      <x:c r="E35" s="58" t="n">
        <x:v>33</x:v>
      </x:c>
      <x:c r="F35" s="58" t="n">
        <x:f>MAX(0,G35-B35)</x:f>
        <x:v>18</x:v>
      </x:c>
      <x:c r="G35" s="58" t="n">
        <x:v>20</x:v>
      </x:c>
      <x:c r="H35" s="59" t="str">
        <x:f>C35</x:f>
        <x:v>lanes_merging</x:v>
      </x:c>
      <x:c r="I35" s="61" t="str">
        <x:v>Seed identified — annotate in Roboflow</x:v>
      </x:c>
    </x:row>
    <x:row r="36" ht="22" customHeight="1">
      <x:c r="A36" s="57" t="s">
        <x:v>42</x:v>
      </x:c>
      <x:c r="B36" s="58">
        <x:v>2</x:v>
      </x:c>
      <x:c r="C36" s="59" t="s">
        <x:v>44</x:v>
      </x:c>
      <x:c r="D36" s="60" t="s">
        <x:v>36</x:v>
      </x:c>
      <x:c r="E36" s="58" t="n">
        <x:v>34</x:v>
      </x:c>
      <x:c r="F36" s="58" t="n">
        <x:f>MAX(0,G36-B36)</x:f>
        <x:v>18</x:v>
      </x:c>
      <x:c r="G36" s="58" t="n">
        <x:v>20</x:v>
      </x:c>
      <x:c r="H36" s="59" t="str">
        <x:f>C36</x:f>
        <x:v>general_warning</x:v>
      </x:c>
      <x:c r="I36" s="61" t="str">
        <x:v>Seed identified — annotate in Roboflow</x:v>
      </x:c>
    </x:row>
    <x:row r="37" ht="22" customHeight="1">
      <x:c r="A37" s="57" t="s">
        <x:v>42</x:v>
      </x:c>
      <x:c r="B37" s="58">
        <x:v>3</x:v>
      </x:c>
      <x:c r="C37" s="59" t="s">
        <x:v>45</x:v>
      </x:c>
      <x:c r="D37" s="60" t="s">
        <x:v>36</x:v>
      </x:c>
      <x:c r="E37" s="58" t="n">
        <x:v>35</x:v>
      </x:c>
      <x:c r="F37" s="58" t="n">
        <x:f>MAX(0,G37-B37)</x:f>
        <x:v>17</x:v>
      </x:c>
      <x:c r="G37" s="58" t="n">
        <x:v>20</x:v>
      </x:c>
      <x:c r="H37" s="59" t="str">
        <x:f>C37</x:f>
        <x:v>pedestrian_crossing_warning</x:v>
      </x:c>
      <x:c r="I37" s="61" t="str">
        <x:v>Seed identified — annotate in Roboflow</x:v>
      </x:c>
    </x:row>
    <x:row r="38" ht="22" customHeight="1">
      <x:c r="A38" s="57" t="s">
        <x:v>42</x:v>
      </x:c>
      <x:c r="B38" s="58">
        <x:v>3</x:v>
      </x:c>
      <x:c r="C38" s="59" t="s">
        <x:v>46</x:v>
      </x:c>
      <x:c r="D38" s="60" t="s">
        <x:v>36</x:v>
      </x:c>
      <x:c r="E38" s="58" t="n">
        <x:v>36</x:v>
      </x:c>
      <x:c r="F38" s="58" t="n">
        <x:f>MAX(0,G38-B38)</x:f>
        <x:v>17</x:v>
      </x:c>
      <x:c r="G38" s="58" t="n">
        <x:v>20</x:v>
      </x:c>
      <x:c r="H38" s="59" t="str">
        <x:f>C38</x:f>
        <x:v>bicycle_warning</x:v>
      </x:c>
      <x:c r="I38" s="61" t="str">
        <x:v>Seed identified — annotate in Roboflow</x:v>
      </x:c>
    </x:row>
    <x:row r="39" ht="22" customHeight="1">
      <x:c r="A39" s="57" t="s">
        <x:v>42</x:v>
      </x:c>
      <x:c r="B39" s="58">
        <x:v>3</x:v>
      </x:c>
      <x:c r="C39" s="59" t="s">
        <x:v>47</x:v>
      </x:c>
      <x:c r="D39" s="60" t="s">
        <x:v>36</x:v>
      </x:c>
      <x:c r="E39" s="58" t="n">
        <x:v>37</x:v>
      </x:c>
      <x:c r="F39" s="58" t="n">
        <x:f>MAX(0,G39-B39)</x:f>
        <x:v>17</x:v>
      </x:c>
      <x:c r="G39" s="58" t="n">
        <x:v>20</x:v>
      </x:c>
      <x:c r="H39" s="59" t="str">
        <x:f>C39</x:f>
        <x:v>children_crossing_warning</x:v>
      </x:c>
      <x:c r="I39" s="61" t="str">
        <x:v>Seed identified — annotate in Roboflow</x:v>
      </x:c>
    </x:row>
    <x:row r="40" ht="22" customHeight="1">
      <x:c r="A40" s="57" t="s">
        <x:v>42</x:v>
      </x:c>
      <x:c r="B40" s="58">
        <x:v>1</x:v>
      </x:c>
      <x:c r="C40" s="59" t="s">
        <x:v>48</x:v>
      </x:c>
      <x:c r="D40" s="60" t="s">
        <x:v>36</x:v>
      </x:c>
      <x:c r="E40" s="58" t="n">
        <x:v>38</x:v>
      </x:c>
      <x:c r="F40" s="58" t="n">
        <x:f>MAX(0,G40-B40)</x:f>
        <x:v>19</x:v>
      </x:c>
      <x:c r="G40" s="58" t="n">
        <x:v>20</x:v>
      </x:c>
      <x:c r="H40" s="59" t="str">
        <x:f>C40</x:f>
        <x:v>sharp_right_turn_warning</x:v>
      </x:c>
      <x:c r="I40" s="61" t="str">
        <x:v>Seed identified — annotate in Roboflow</x:v>
      </x:c>
    </x:row>
    <x:row r="41" ht="22" customHeight="1">
      <x:c r="A41" s="57" t="s">
        <x:v>42</x:v>
      </x:c>
      <x:c r="B41" s="58">
        <x:v>1</x:v>
      </x:c>
      <x:c r="C41" s="59" t="s">
        <x:v>49</x:v>
      </x:c>
      <x:c r="D41" s="60" t="s">
        <x:v>36</x:v>
      </x:c>
      <x:c r="E41" s="58" t="n">
        <x:v>39</x:v>
      </x:c>
      <x:c r="F41" s="58" t="n">
        <x:f>MAX(0,G41-B41)</x:f>
        <x:v>19</x:v>
      </x:c>
      <x:c r="G41" s="58" t="n">
        <x:v>20</x:v>
      </x:c>
      <x:c r="H41" s="59" t="str">
        <x:f>C41</x:f>
        <x:v>steep_descent_warning</x:v>
      </x:c>
      <x:c r="I41" s="61" t="str">
        <x:v>Seed identified — annotate in Roboflow</x:v>
      </x:c>
    </x:row>
    <x:row r="42" ht="22" customHeight="1">
      <x:c r="A42" s="57" t="s">
        <x:v>42</x:v>
      </x:c>
      <x:c r="B42" s="58">
        <x:v>2</x:v>
      </x:c>
      <x:c r="C42" s="59" t="s">
        <x:v>50</x:v>
      </x:c>
      <x:c r="D42" s="60" t="s">
        <x:v>36</x:v>
      </x:c>
      <x:c r="E42" s="58" t="n">
        <x:v>40</x:v>
      </x:c>
      <x:c r="F42" s="58" t="n">
        <x:f>MAX(0,G42-B42)</x:f>
        <x:v>18</x:v>
      </x:c>
      <x:c r="G42" s="58" t="n">
        <x:v>20</x:v>
      </x:c>
      <x:c r="H42" s="59" t="str">
        <x:f>C42</x:f>
        <x:v>slowdown_warning</x:v>
      </x:c>
      <x:c r="I42" s="61" t="str">
        <x:v>Seed identified — annotate in Roboflow</x:v>
      </x:c>
    </x:row>
    <x:row r="43" ht="22" customHeight="1">
      <x:c r="A43" s="57" t="s">
        <x:v>42</x:v>
      </x:c>
      <x:c r="B43" s="58">
        <x:v>1</x:v>
      </x:c>
      <x:c r="C43" s="59" t="s">
        <x:v>51</x:v>
      </x:c>
      <x:c r="D43" s="60" t="s">
        <x:v>36</x:v>
      </x:c>
      <x:c r="E43" s="58" t="n">
        <x:v>41</x:v>
      </x:c>
      <x:c r="F43" s="58" t="n">
        <x:f>MAX(0,G43-B43)</x:f>
        <x:v>19</x:v>
      </x:c>
      <x:c r="G43" s="58" t="n">
        <x:v>20</x:v>
      </x:c>
      <x:c r="H43" s="59" t="str">
        <x:f>C43</x:f>
        <x:v>t_intersection_right_warning</x:v>
      </x:c>
      <x:c r="I43" s="61" t="str">
        <x:v>Seed identified — annotate in Roboflow</x:v>
      </x:c>
    </x:row>
    <x:row r="44" ht="22" customHeight="1">
      <x:c r="A44" s="57" t="s">
        <x:v>42</x:v>
      </x:c>
      <x:c r="B44" s="58">
        <x:v>2</x:v>
      </x:c>
      <x:c r="C44" s="59" t="s">
        <x:v>52</x:v>
      </x:c>
      <x:c r="D44" s="60" t="s">
        <x:v>36</x:v>
      </x:c>
      <x:c r="E44" s="58" t="n">
        <x:v>42</x:v>
      </x:c>
      <x:c r="F44" s="58" t="n">
        <x:f>MAX(0,G44-B44)</x:f>
        <x:v>18</x:v>
      </x:c>
      <x:c r="G44" s="58" t="n">
        <x:v>20</x:v>
      </x:c>
      <x:c r="H44" s="59" t="str">
        <x:f>C44</x:f>
        <x:v>village_ahead_warning</x:v>
      </x:c>
      <x:c r="I44" s="61" t="str">
        <x:v>Seed identified — annotate in Roboflow</x:v>
      </x:c>
    </x:row>
    <x:row r="45" ht="22" customHeight="1">
      <x:c r="A45" s="57" t="s">
        <x:v>42</x:v>
      </x:c>
      <x:c r="B45" s="58">
        <x:v>1</x:v>
      </x:c>
      <x:c r="C45" s="59" t="s">
        <x:v>53</x:v>
      </x:c>
      <x:c r="D45" s="60" t="s">
        <x:v>36</x:v>
      </x:c>
      <x:c r="E45" s="58" t="n">
        <x:v>43</x:v>
      </x:c>
      <x:c r="F45" s="58" t="n">
        <x:f>MAX(0,G45-B45)</x:f>
        <x:v>19</x:v>
      </x:c>
      <x:c r="G45" s="58" t="n">
        <x:v>20</x:v>
      </x:c>
      <x:c r="H45" s="59" t="str">
        <x:f>C45</x:f>
        <x:v>winding_road_warning</x:v>
      </x:c>
      <x:c r="I45" s="61" t="str">
        <x:v>Seed identified — annotate in Roboflow</x:v>
      </x:c>
    </x:row>
    <x:row r="46" ht="22" customHeight="1">
      <x:c r="A46" s="57" t="s">
        <x:v>42</x:v>
      </x:c>
      <x:c r="B46" s="58">
        <x:v>3</x:v>
      </x:c>
      <x:c r="C46" s="59" t="s">
        <x:v>54</x:v>
      </x:c>
      <x:c r="D46" s="60" t="s">
        <x:v>36</x:v>
      </x:c>
      <x:c r="E46" s="58" t="n">
        <x:v>44</x:v>
      </x:c>
      <x:c r="F46" s="58" t="n">
        <x:f>MAX(0,G46-B46)</x:f>
        <x:v>17</x:v>
      </x:c>
      <x:c r="G46" s="58" t="n">
        <x:v>20</x:v>
      </x:c>
      <x:c r="H46" s="59" t="str">
        <x:f>C46</x:f>
        <x:v>railway_crossing_ahead_warning</x:v>
      </x:c>
      <x:c r="I46" s="61" t="str">
        <x:v>Seed identified — annotate in Roboflow</x:v>
      </x:c>
    </x:row>
    <x:row r="47" ht="22" customHeight="1">
      <x:c r="A47" s="57" t="s">
        <x:v>42</x:v>
      </x:c>
      <x:c r="B47" s="58">
        <x:v>1</x:v>
      </x:c>
      <x:c r="C47" s="59" t="s">
        <x:v>55</x:v>
      </x:c>
      <x:c r="D47" s="60" t="s">
        <x:v>36</x:v>
      </x:c>
      <x:c r="E47" s="58" t="n">
        <x:v>45</x:v>
      </x:c>
      <x:c r="F47" s="58" t="n">
        <x:f>MAX(0,G47-B47)</x:f>
        <x:v>19</x:v>
      </x:c>
      <x:c r="G47" s="58" t="n">
        <x:v>20</x:v>
      </x:c>
      <x:c r="H47" s="59" t="str">
        <x:f>C47</x:f>
        <x:v>construction_ahead_warning</x:v>
      </x:c>
      <x:c r="I47" s="61" t="str">
        <x:v>Seed identified — annotate in Roboflow</x:v>
      </x:c>
    </x:row>
    <x:row r="48" ht="22" customHeight="1">
      <x:c r="A48" s="57" t="s">
        <x:v>42</x:v>
      </x:c>
      <x:c r="B48" s="58">
        <x:v>1</x:v>
      </x:c>
      <x:c r="C48" s="59" t="s">
        <x:v>56</x:v>
      </x:c>
      <x:c r="D48" s="60" t="s">
        <x:v>36</x:v>
      </x:c>
      <x:c r="E48" s="58" t="n">
        <x:v>46</x:v>
      </x:c>
      <x:c r="F48" s="58" t="n">
        <x:f>MAX(0,G48-B48)</x:f>
        <x:v>19</x:v>
      </x:c>
      <x:c r="G48" s="58" t="n">
        <x:v>20</x:v>
      </x:c>
      <x:c r="H48" s="59" t="str">
        <x:f>C48</x:f>
        <x:v>slippery_road_warning</x:v>
      </x:c>
      <x:c r="I48" s="61" t="str">
        <x:v>Seed identified — annotate in Roboflow</x:v>
      </x:c>
    </x:row>
    <x:row r="49" ht="22" customHeight="1">
      <x:c r="A49" s="57" t="s">
        <x:v>42</x:v>
      </x:c>
      <x:c r="B49" s="58">
        <x:v>1</x:v>
      </x:c>
      <x:c r="C49" s="59" t="s">
        <x:v>57</x:v>
      </x:c>
      <x:c r="D49" s="60" t="s">
        <x:v>36</x:v>
      </x:c>
      <x:c r="E49" s="58" t="n">
        <x:v>47</x:v>
      </x:c>
      <x:c r="F49" s="58" t="n">
        <x:f>MAX(0,G49-B49)</x:f>
        <x:v>19</x:v>
      </x:c>
      <x:c r="G49" s="58" t="n">
        <x:v>20</x:v>
      </x:c>
      <x:c r="H49" s="59" t="str">
        <x:f>C49</x:f>
        <x:v>gated_railway_crossing_ahead_warning</x:v>
      </x:c>
      <x:c r="I49" s="61" t="str">
        <x:v>Seed identified — annotate in Roboflow</x:v>
      </x:c>
    </x:row>
    <x:row r="50" ht="22" customHeight="1">
      <x:c r="A50" s="63" t="s">
        <x:v>42</x:v>
      </x:c>
      <x:c r="B50" s="64">
        <x:v>1</x:v>
      </x:c>
      <x:c r="C50" s="65" t="s">
        <x:v>58</x:v>
      </x:c>
      <x:c r="D50" s="66" t="s">
        <x:v>36</x:v>
      </x:c>
      <x:c r="E50" s="64" t="n">
        <x:v>48</x:v>
      </x:c>
      <x:c r="F50" s="64" t="n">
        <x:f>MAX(0,G50-B50)</x:f>
        <x:v>19</x:v>
      </x:c>
      <x:c r="G50" s="64" t="n">
        <x:v>20</x:v>
      </x:c>
      <x:c r="H50" s="65" t="str">
        <x:f>C50</x:f>
        <x:v>accident_prone_area_warning</x:v>
      </x:c>
      <x:c r="I50" s="67" t="str">
        <x:v>Seed identified — annotate in Roboflow</x:v>
      </x:c>
    </x:row>
    <x:row r="51">
      <x:c r="B51" s="1"/>
    </x:row>
  </x:sheetData>
  <x:conditionalFormatting sqref="F2:F50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22" hidden="0" customWidth="1"/>
  </x:cols>
  <x:sheetData>
    <x:row r="1" ht="28" customHeight="1">
      <x:c r="A1" s="69" t="str">
        <x:v>MYSignVoice 49-Class Dataset Readiness</x:v>
      </x:c>
      <x:c r="B1" s="69"/>
      <x:c r="C1" s="69"/>
      <x:c r="D1" s="69"/>
    </x:row>
    <x:row r="3">
      <x:c r="A3" s="72" t="str">
        <x:v>Metric</x:v>
      </x:c>
      <x:c r="B3" s="73" t="str">
        <x:v>Value</x:v>
      </x:c>
    </x:row>
    <x:row r="4">
      <x:c r="A4" s="16" t="str">
        <x:v>Reviewed classes</x:v>
      </x:c>
      <x:c r="B4" s="18" t="n">
        <x:f>COUNTA('Sheet1'!$C$2:$C$50)</x:f>
        <x:v>49</x:v>
      </x:c>
    </x:row>
    <x:row r="5">
      <x:c r="A5" s="19" t="str">
        <x:v>Seed sign images</x:v>
      </x:c>
      <x:c r="B5" s="21" t="n">
        <x:f>SUM('Sheet1'!$B$2:$B$50)</x:f>
        <x:v>84</x:v>
      </x:c>
    </x:row>
    <x:row r="6">
      <x:c r="A6" s="19" t="str">
        <x:v>Target originals per class</x:v>
      </x:c>
      <x:c r="B6" s="21" t="n">
        <x:v>20</x:v>
      </x:c>
    </x:row>
    <x:row r="7">
      <x:c r="A7" s="23" t="str">
        <x:v>Additional originals needed</x:v>
      </x:c>
      <x:c r="B7" s="25" t="n">
        <x:f>SUM('Sheet1'!$F$2:$F$50)</x:f>
        <x:v>896</x:v>
      </x:c>
    </x:row>
    <x:row r="9">
      <x:c r="A9" s="74" t="str">
        <x:v>Colour</x:v>
      </x:c>
      <x:c r="B9" s="74" t="str">
        <x:v>Classes</x:v>
      </x:c>
      <x:c r="C9" s="74" t="str">
        <x:v>Seed sign images</x:v>
      </x:c>
    </x:row>
    <x:row r="10">
      <x:c r="A10" s="16" t="str">
        <x:v>Blue</x:v>
      </x:c>
      <x:c r="B10" s="17" t="n">
        <x:f>COUNTIF('Sheet1'!$A$2:$A$50,A10)</x:f>
        <x:v>12</x:v>
      </x:c>
      <x:c r="C10" s="18" t="n">
        <x:f>SUMIF('Sheet1'!$A$2:$A$50,A10,'Sheet1'!$B$2:$B$50)</x:f>
        <x:v>28</x:v>
      </x:c>
    </x:row>
    <x:row r="11">
      <x:c r="A11" s="19" t="str">
        <x:v>Red</x:v>
      </x:c>
      <x:c r="B11" s="20" t="n">
        <x:f>COUNTIF('Sheet1'!$A$2:$A$50,A11)</x:f>
        <x:v>21</x:v>
      </x:c>
      <x:c r="C11" s="21" t="n">
        <x:f>SUMIF('Sheet1'!$A$2:$A$50,A11,'Sheet1'!$B$2:$B$50)</x:f>
        <x:v>28</x:v>
      </x:c>
    </x:row>
    <x:row r="12">
      <x:c r="A12" s="23" t="str">
        <x:v>Yellow</x:v>
      </x:c>
      <x:c r="B12" s="24" t="n">
        <x:f>COUNTIF('Sheet1'!$A$2:$A$50,A12)</x:f>
        <x:v>16</x:v>
      </x:c>
      <x:c r="C12" s="25" t="n">
        <x:f>SUMIF('Sheet1'!$A$2:$A$50,A12,'Sheet1'!$B$2:$B$50)</x:f>
        <x:v>28</x:v>
      </x:c>
    </x:row>
    <x:row r="14" ht="26" customHeight="1">
      <x:c r="A14" s="94" t="str">
        <x:v>Use the exact class names and YOLO IDs on Sheet1 when creating Roboflow classes. The 84-image inventory is a seed set: collect additional original images before claiming final accuracy. Do not horizontally or vertically flip directional signs.</x:v>
      </x:c>
      <x:c r="B14" s="95"/>
      <x:c r="C14" s="95"/>
      <x:c r="D14" s="96"/>
    </x:row>
    <x:row r="15" ht="26" customHeight="1">
      <x:c r="A15" s="97"/>
      <x:c r="B15" s="98"/>
      <x:c r="C15" s="98"/>
      <x:c r="D15" s="99"/>
    </x:row>
    <x:row r="16" ht="26" customHeight="1">
      <x:c r="A16" s="100"/>
      <x:c r="B16" s="101"/>
      <x:c r="C16" s="101"/>
      <x:c r="D16" s="102"/>
    </x:row>
  </x:sheetData>
  <x:mergeCells>
    <x:mergeCell ref="A1:D1"/>
    <x:mergeCell ref="A14:D16"/>
  </x:mergeCells>
  <x:pageMargins left="0.7" right="0.7" top="0.75" bottom="0.75" header="0.3" footer="0.3"/>
</x:worksheet>
</file>